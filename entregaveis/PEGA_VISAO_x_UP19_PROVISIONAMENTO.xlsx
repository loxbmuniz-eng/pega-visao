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ga Visão x UP19" sheetId="1" state="visible" r:id="rId3"/>
  </sheets>
  <definedNames>
    <definedName function="false" hidden="false" localSheetId="0" name="_xlnm.Print_Titles" vbProcedure="false">'Pega Visão x UP19'!$1:$2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<sst xmlns="http://schemas.openxmlformats.org/spreadsheetml/2006/main" count="105" uniqueCount="80">
  <si>
    <t xml:space="preserve">PEGA VISÃO × UNIVERSO PARALELLO 19</t>
  </si>
  <si>
    <t xml:space="preserve">Provisionamento  ·  Equipe: Luis, Badaró, Zambonini  ·  Micka e Fernanda com participação e logística próprias</t>
  </si>
  <si>
    <t xml:space="preserve">O QUE TRAZEMOS</t>
  </si>
  <si>
    <t xml:space="preserve">Item</t>
  </si>
  <si>
    <t xml:space="preserve">Descrição</t>
  </si>
  <si>
    <t xml:space="preserve">Valor (R$)</t>
  </si>
  <si>
    <t xml:space="preserve">Aporte</t>
  </si>
  <si>
    <t xml:space="preserve">Obra Pega Visão</t>
  </si>
  <si>
    <t xml:space="preserve">Obra tátil original cedida ao festival para exposição na galeria oficial do UP, durante todo o período do evento.</t>
  </si>
  <si>
    <t xml:space="preserve">—</t>
  </si>
  <si>
    <t xml:space="preserve">Contrapartida</t>
  </si>
  <si>
    <t xml:space="preserve">Live painting — Badaró</t>
  </si>
  <si>
    <t xml:space="preserve">Pintura ao vivo durante o festival. Cachê solicitado ao UP — ver bloco O QUE PEDIMOS.</t>
  </si>
  <si>
    <t xml:space="preserve">Cerâmica Às Cegas — Mickaela</t>
  </si>
  <si>
    <t xml:space="preserve">Vivência guiada de olhos vendados, dias 28, 29 e 30/12. Cachê solicitado ao UP — ver bloco O QUE PEDIMOS.</t>
  </si>
  <si>
    <t xml:space="preserve">Cobertura audiovisual — Zambonini</t>
  </si>
  <si>
    <t xml:space="preserve">Captação e produção de conteúdo documental do projeto no UP19. Cachê solicitado ao UP — ver bloco O QUE PEDIMOS.</t>
  </si>
  <si>
    <t xml:space="preserve">Equipamento audiovisual próprio</t>
  </si>
  <si>
    <t xml:space="preserve">Kit profissional do diretor: câmera Sony A7IV (33MP), lentes Sigma 24-70 Art e 70-200 GM, lapela Hollyland Lark Max 2, tripé, iluminação (tubo LED Sokani 25W, LED portátil 40W) e flash Godox V1. Garante padrão profissional de captação das experiências do Pega Visão e sustenta o intercâmbio de material audiovisual proposto com a equipe oficial do UP.</t>
  </si>
  <si>
    <t xml:space="preserve">45,000 em equipamentos</t>
  </si>
  <si>
    <t xml:space="preserve">Qualidade técnica</t>
  </si>
  <si>
    <t xml:space="preserve">Trust in Dance — Fernanda Pistelli</t>
  </si>
  <si>
    <t xml:space="preserve">Experiência de dança guiada de olhos vendados. Participação artística, sem custo ao festival.</t>
  </si>
  <si>
    <t xml:space="preserve">Sets de referência</t>
  </si>
  <si>
    <t xml:space="preserve">Dois sets autorais de Luis (Ota Blind) enviados para apreciação da curadoria.</t>
  </si>
  <si>
    <t xml:space="preserve">Passagens aéreas — equipe</t>
  </si>
  <si>
    <t xml:space="preserve">Ida e volta: Luis Otávio, André Zambonini e Luis Badaró. Cotação real em 27/07/2026, ida 26/12/2026 e volta 05/01/2027 — Cuiabá↔Salvador (Badaró e Zambonini, 2 pax): R$5.317,00. Brasília↔Salvador (Luis, 1 pax): R$2.266,00.</t>
  </si>
  <si>
    <t xml:space="preserve">Pega Visão</t>
  </si>
  <si>
    <t xml:space="preserve">Translado Salvador ↔ Pratigi</t>
  </si>
  <si>
    <t xml:space="preserve">Ida e volta para a equipe (Luis, Badaró, Zambonini).</t>
  </si>
  <si>
    <t xml:space="preserve">Hospedagem da equipe</t>
  </si>
  <si>
    <t xml:space="preserve">Casa própria no Jatimane — hospedagem e base de operação durante todo o período.</t>
  </si>
  <si>
    <t xml:space="preserve">Portfólios e material de referência</t>
  </si>
  <si>
    <t xml:space="preserve">Portfólios de Zambonini e Badaró; registros da vivência de cerâmica com pessoas com deficiência visual (edição anterior); vídeos da experiência Trust in Dance.</t>
  </si>
  <si>
    <t xml:space="preserve">Anexo</t>
  </si>
  <si>
    <t xml:space="preserve">Intercâmbio audiovisual</t>
  </si>
  <si>
    <t xml:space="preserve">Material captado pelo Pega Visão disponibilizado ao UP para uso institucional.</t>
  </si>
  <si>
    <t xml:space="preserve">TOTAL — APORTE PEGA VISÃO</t>
  </si>
  <si>
    <t xml:space="preserve">O QUE PEDIMOS  ·  CUSTO A COBRIR PELO UP</t>
  </si>
  <si>
    <t xml:space="preserve">Natureza</t>
  </si>
  <si>
    <t xml:space="preserve">Cachê — Live painting (Badaró)</t>
  </si>
  <si>
    <t xml:space="preserve">Cachê de execução do live painting durante o festival.</t>
  </si>
  <si>
    <t xml:space="preserve">Custo a cobrir pelo UP</t>
  </si>
  <si>
    <t xml:space="preserve">Cachê — Cerâmica Às Cegas (Mickaela)</t>
  </si>
  <si>
    <t xml:space="preserve">Cachê de execução da vivência guiada, dias 28, 29 e 30/12.</t>
  </si>
  <si>
    <t xml:space="preserve">Cachê — Cobertura audiovisual (Zambonini)</t>
  </si>
  <si>
    <t xml:space="preserve">Cachê de execução da captação documental do projeto no UP19.</t>
  </si>
  <si>
    <t xml:space="preserve">Materiais — Live painting Badaró</t>
  </si>
  <si>
    <t xml:space="preserve">Tinta acrílica, suporte MDF 220×180, embalagem e proteção para transporte.</t>
  </si>
  <si>
    <t xml:space="preserve">Produção — Nova obra tátil (Cimática)</t>
  </si>
  <si>
    <t xml:space="preserve">Materiais para a nova peça do artista Luis Badaró, com tema cimática — formas visuais das frequências sonoras.</t>
  </si>
  <si>
    <t xml:space="preserve">A cotar</t>
  </si>
  <si>
    <t xml:space="preserve">Materiais — Vendas para os olhos</t>
  </si>
  <si>
    <t xml:space="preserve">25 metros de tecido para confecção de 300 vendas — higienizadas, personalizadas, utilizadas em todas as experiências do Pega Visão no UP.</t>
  </si>
  <si>
    <t xml:space="preserve">Materiais — Cerâmica Às Cegas (Mickaela)</t>
  </si>
  <si>
    <t xml:space="preserve">Argila, lona, bacias.</t>
  </si>
  <si>
    <t xml:space="preserve">TOTAL — SOLICITADO AO UP</t>
  </si>
  <si>
    <t xml:space="preserve">+ valor da produção da obra tátil cimática, a definir</t>
  </si>
  <si>
    <t xml:space="preserve">O QUE PEDIMOS  ·  APOIO INSTITUCIONAL — SEM VALOR MONETÁRIO</t>
  </si>
  <si>
    <t xml:space="preserve">Descrição — apoio institucional</t>
  </si>
  <si>
    <t xml:space="preserve">Espaço — Live painting</t>
  </si>
  <si>
    <t xml:space="preserve">Área próxima à galeria de arte do UP para execução do live painting ao vivo durante o festival.</t>
  </si>
  <si>
    <t xml:space="preserve">Slot — Galeria de arte</t>
  </si>
  <si>
    <t xml:space="preserve">Espaço na galeria oficial do UP para exposição de nova obra tátil, produzida especialmente para o UP19, com tema cimática. A cimática é o estudo de como o som, em vibração, organiza a matéria em padrões visíveis — a prova física de que toda frequência sonora carrega uma forma, mesmo antes de qualquer olho a perceber. A obra parte desse princípio: transforma, em relevo tátil, os padrões que diferentes frequências imprimem na matéria — as figuras que o som desenha quando encontra areia, água ou placas em vibração. Ela convida quem vê a tocar o que o som desenha, e permite que quem não vê acesse, pela primeira vez, a forma visual da própria música. É a alma do Pega Visão em sua expressão mais literal: a certeza de que a percepção do mundo nunca dependeu de um único sentido — o som sempre teve corpo, mesmo para quem nunca pôde vê-lo.</t>
  </si>
  <si>
    <t xml:space="preserve">Cronograma da obra</t>
  </si>
  <si>
    <t xml:space="preserve">Definição do dia em que a nova obra precisa estar entregue na galeria e da antecedência necessária para montagem.</t>
  </si>
  <si>
    <t xml:space="preserve">Espaço — Cerâmica Às Cegas</t>
  </si>
  <si>
    <t xml:space="preserve">Local para a vivência guiada nos dias 28, 29 e 30/12 — Circulou, Espaço de Cura, ou área próxima ao Chill Out.</t>
  </si>
  <si>
    <t xml:space="preserve">Suporte — Live painting</t>
  </si>
  <si>
    <t xml:space="preserve">MDF 220×180 cedido ou produzido localmente pelo UP (a confirmar); definição de fixação — cavalete ou lona/parede.</t>
  </si>
  <si>
    <t xml:space="preserve">Slot — Chill Out</t>
  </si>
  <si>
    <t xml:space="preserve">Set de Ota Blind no Chill Out, em horário próximo à experiência Trust in Dance — horário exato [A CONFIRMAR], conforme grade de shows de Fernanda Pistelli.</t>
  </si>
  <si>
    <t xml:space="preserve">Slot — UP Club</t>
  </si>
  <si>
    <t xml:space="preserve">Set de Ota Blind no UP Club.</t>
  </si>
  <si>
    <t xml:space="preserve">Credenciais — equipe</t>
  </si>
  <si>
    <t xml:space="preserve">3 credenciais: Badaró, Zambonini e 1 vaga de apoio operacional.</t>
  </si>
  <si>
    <t xml:space="preserve">Credencial — artista</t>
  </si>
  <si>
    <t xml:space="preserve">Luis (Ota Blind): credencial de artista + 1 acompanhante.</t>
  </si>
  <si>
    <t xml:space="preserve">Acesso a mídias — UP</t>
  </si>
  <si>
    <t xml:space="preserve">Acesso ao material audiovisual captado pela produção oficial do UP, como parte do intercâmbio proposto.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</si>
</sst>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16]&quot;R$ &quot;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5F0E5"/>
      <name val="Arial"/>
      <family val="0"/>
      <charset val="1"/>
    </font>
    <font>
      <sz val="9.5"/>
      <color rgb="FFC9A063"/>
      <name val="Arial"/>
      <family val="0"/>
      <charset val="1"/>
    </font>
    <font>
      <b val="true"/>
      <sz val="11.5"/>
      <color rgb="FF1A1A1A"/>
      <name val="Arial"/>
      <family val="0"/>
      <charset val="1"/>
    </font>
    <font>
      <b val="true"/>
      <sz val="9"/>
      <color rgb="FFF5F0E5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.5"/>
      <color rgb="FF6B6B6B"/>
      <name val="Arial"/>
      <family val="0"/>
      <charset val="1"/>
    </font>
    <font>
      <b val="true"/>
      <sz val="9"/>
      <color rgb="FF2C6B7D"/>
      <name val="Arial"/>
      <family val="0"/>
      <charset val="1"/>
    </font>
    <font>
      <b val="true"/>
      <sz val="9"/>
      <color rgb="FF8A6B33"/>
      <name val="Arial"/>
      <family val="0"/>
      <charset val="1"/>
    </font>
    <font>
      <b val="true"/>
      <sz val="10.5"/>
      <color rgb="FF1A1A1A"/>
      <name val="Arial"/>
      <family val="0"/>
      <charset val="1"/>
    </font>
    <font>
      <b val="true"/>
      <sz val="9"/>
      <color rgb="FF6E7A2A"/>
      <name val="Arial"/>
      <family val="0"/>
      <charset val="1"/>
    </font>
    <font>
      <b val="true"/>
      <sz val="9"/>
      <color rgb="FF6B6B6B"/>
      <name val="Arial"/>
      <family val="0"/>
      <charset val="1"/>
    </font>
    <font>
      <b val="true"/>
      <sz val="12"/>
      <color rgb="FFF5F0E5"/>
      <name val="Arial"/>
      <family val="0"/>
      <charset val="1"/>
    </font>
    <font>
      <b val="true"/>
      <sz val="13.5"/>
      <color rgb="FFA8B848"/>
      <name val="Arial"/>
      <family val="0"/>
      <charset val="1"/>
    </font>
    <font>
      <b val="true"/>
      <sz val="11.5"/>
      <color rgb="FFFFFFFF"/>
      <name val="Arial"/>
      <family val="0"/>
      <charset val="1"/>
    </font>
    <font>
      <b val="true"/>
      <sz val="9"/>
      <color rgb="FFA61F4D"/>
      <name val="Arial"/>
      <family val="0"/>
      <charset val="1"/>
    </font>
    <font>
      <b val="true"/>
      <i val="true"/>
      <sz val="9.5"/>
      <color rgb="FFA61F4D"/>
      <name val="Arial"/>
      <family val="0"/>
      <charset val="1"/>
    </font>
    <font>
      <b val="true"/>
      <sz val="13.5"/>
      <color rgb="FFD8336B"/>
      <name val="Arial"/>
      <family val="0"/>
      <charset val="1"/>
    </font>
    <font>
      <i val="true"/>
      <sz val="9.5"/>
      <color rgb="FFA61F4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1A"/>
        <bgColor rgb="FF2E2E2E"/>
      </patternFill>
    </fill>
    <fill>
      <patternFill patternType="solid">
        <fgColor rgb="FFA8B848"/>
        <bgColor rgb="FFC9A063"/>
      </patternFill>
    </fill>
    <fill>
      <patternFill patternType="solid">
        <fgColor rgb="FF2E2E2E"/>
        <bgColor rgb="FF333333"/>
      </patternFill>
    </fill>
    <fill>
      <patternFill patternType="solid">
        <fgColor rgb="FFFBF9F4"/>
        <bgColor rgb="FFFFFFFF"/>
      </patternFill>
    </fill>
    <fill>
      <patternFill patternType="solid">
        <fgColor rgb="FFFFFFFF"/>
        <bgColor rgb="FFFBF9F4"/>
      </patternFill>
    </fill>
    <fill>
      <patternFill patternType="solid">
        <fgColor rgb="FFD8336B"/>
        <bgColor rgb="FFA61F4D"/>
      </patternFill>
    </fill>
    <fill>
      <patternFill patternType="solid">
        <fgColor rgb="FFFBEEF3"/>
        <bgColor rgb="FFF5F0E5"/>
      </patternFill>
    </fill>
    <fill>
      <patternFill patternType="solid">
        <fgColor rgb="FFC9A063"/>
        <bgColor rgb="FFA8B8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6C8"/>
      </left>
      <right style="thin">
        <color rgb="FFDCD6C8"/>
      </right>
      <top style="thin">
        <color rgb="FFDCD6C8"/>
      </top>
      <bottom style="thin">
        <color rgb="FFDCD6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0" fillId="6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5" fontId="21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E7A2A"/>
      <rgbColor rgb="FF800080"/>
      <rgbColor rgb="FF2C6B7D"/>
      <rgbColor rgb="FFC0C0C0"/>
      <rgbColor rgb="FF8A6B33"/>
      <rgbColor rgb="FF9999FF"/>
      <rgbColor rgb="FFA61F4D"/>
      <rgbColor rgb="FFFBF9F4"/>
      <rgbColor rgb="FFFBEEF3"/>
      <rgbColor rgb="FF660066"/>
      <rgbColor rgb="FFFF8080"/>
      <rgbColor rgb="FF0066CC"/>
      <rgbColor rgb="FFDCD6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5F0E5"/>
      <rgbColor rgb="FFFFFF99"/>
      <rgbColor rgb="FF99CCFF"/>
      <rgbColor rgb="FFFF99CC"/>
      <rgbColor rgb="FFCC99FF"/>
      <rgbColor rgb="FFFFCC99"/>
      <rgbColor rgb="FF3366FF"/>
      <rgbColor rgb="FF33CCCC"/>
      <rgbColor rgb="FFA8B848"/>
      <rgbColor rgb="FFFFCC00"/>
      <rgbColor rgb="FFFF9900"/>
      <rgbColor rgb="FFFF6600"/>
      <rgbColor rgb="FF6B6B6B"/>
      <rgbColor rgb="FFC9A063"/>
      <rgbColor rgb="FF003366"/>
      <rgbColor rgb="FF339966"/>
      <rgbColor rgb="FF1A1A1A"/>
      <rgbColor rgb="FF2E2E2E"/>
      <rgbColor rgb="FF993300"/>
      <rgbColor rgb="FFD8336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68"/>
    <col collapsed="false" customWidth="true" hidden="false" outlineLevel="0" max="3" min="3" style="0" width="20"/>
    <col collapsed="false" customWidth="true" hidden="false" outlineLevel="0" max="4" min="4" style="0" width="23"/>
  </cols>
  <sheetData>
    <row r="1" customFormat="false" ht="49.5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27" hidden="false" customHeight="true" outlineLevel="0" collapsed="false">
      <c r="A4" s="3" t="s">
        <v>2</v>
      </c>
      <c r="B4" s="3"/>
      <c r="C4" s="3"/>
      <c r="D4" s="3"/>
    </row>
    <row r="5" customFormat="false" ht="22.5" hidden="false" customHeight="true" outlineLevel="0" collapsed="false">
      <c r="A5" s="4" t="s">
        <v>3</v>
      </c>
      <c r="B5" s="4" t="s">
        <v>4</v>
      </c>
      <c r="C5" s="5" t="s">
        <v>5</v>
      </c>
      <c r="D5" s="4" t="s">
        <v>6</v>
      </c>
    </row>
    <row r="6" customFormat="false" ht="30.75" hidden="false" customHeight="tru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30.75" hidden="false" customHeight="true" outlineLevel="0" collapsed="false">
      <c r="A7" s="10" t="s">
        <v>11</v>
      </c>
      <c r="B7" s="11" t="s">
        <v>12</v>
      </c>
      <c r="C7" s="12" t="s">
        <v>9</v>
      </c>
      <c r="D7" s="13" t="s">
        <v>10</v>
      </c>
    </row>
    <row r="8" customFormat="false" ht="30.75" hidden="false" customHeight="true" outlineLevel="0" collapsed="false">
      <c r="A8" s="6" t="s">
        <v>13</v>
      </c>
      <c r="B8" s="7" t="s">
        <v>14</v>
      </c>
      <c r="C8" s="8" t="s">
        <v>9</v>
      </c>
      <c r="D8" s="9" t="s">
        <v>10</v>
      </c>
    </row>
    <row r="9" customFormat="false" ht="30.75" hidden="false" customHeight="true" outlineLevel="0" collapsed="false">
      <c r="A9" s="10" t="s">
        <v>15</v>
      </c>
      <c r="B9" s="11" t="s">
        <v>16</v>
      </c>
      <c r="C9" s="12" t="s">
        <v>9</v>
      </c>
      <c r="D9" s="13" t="s">
        <v>10</v>
      </c>
    </row>
    <row r="10" customFormat="false" ht="67.5" hidden="false" customHeight="true" outlineLevel="0" collapsed="false">
      <c r="A10" s="6" t="s">
        <v>17</v>
      </c>
      <c r="B10" s="7" t="s">
        <v>18</v>
      </c>
      <c r="C10" s="8" t="s">
        <v>19</v>
      </c>
      <c r="D10" s="14" t="s">
        <v>20</v>
      </c>
    </row>
    <row r="11" customFormat="false" ht="30.75" hidden="false" customHeight="true" outlineLevel="0" collapsed="false">
      <c r="A11" s="10" t="s">
        <v>21</v>
      </c>
      <c r="B11" s="11" t="s">
        <v>22</v>
      </c>
      <c r="C11" s="12" t="s">
        <v>9</v>
      </c>
      <c r="D11" s="13" t="s">
        <v>10</v>
      </c>
    </row>
    <row r="12" customFormat="false" ht="30.75" hidden="false" customHeight="true" outlineLevel="0" collapsed="false">
      <c r="A12" s="6" t="s">
        <v>23</v>
      </c>
      <c r="B12" s="7" t="s">
        <v>24</v>
      </c>
      <c r="C12" s="8" t="s">
        <v>9</v>
      </c>
      <c r="D12" s="9" t="s">
        <v>10</v>
      </c>
    </row>
    <row r="13" customFormat="false" ht="55.5" hidden="false" customHeight="true" outlineLevel="0" collapsed="false">
      <c r="A13" s="10" t="s">
        <v>25</v>
      </c>
      <c r="B13" s="11" t="s">
        <v>26</v>
      </c>
      <c r="C13" s="15" t="n">
        <v>7583</v>
      </c>
      <c r="D13" s="16" t="s">
        <v>27</v>
      </c>
    </row>
    <row r="14" customFormat="false" ht="25.5" hidden="false" customHeight="true" outlineLevel="0" collapsed="false">
      <c r="A14" s="6" t="s">
        <v>28</v>
      </c>
      <c r="B14" s="7" t="s">
        <v>29</v>
      </c>
      <c r="C14" s="17" t="n">
        <v>930</v>
      </c>
      <c r="D14" s="18" t="s">
        <v>27</v>
      </c>
    </row>
    <row r="15" customFormat="false" ht="30.75" hidden="false" customHeight="true" outlineLevel="0" collapsed="false">
      <c r="A15" s="10" t="s">
        <v>30</v>
      </c>
      <c r="B15" s="11" t="s">
        <v>31</v>
      </c>
      <c r="C15" s="15" t="n">
        <v>7000</v>
      </c>
      <c r="D15" s="16" t="s">
        <v>27</v>
      </c>
    </row>
    <row r="16" customFormat="false" ht="43.5" hidden="false" customHeight="true" outlineLevel="0" collapsed="false">
      <c r="A16" s="6" t="s">
        <v>32</v>
      </c>
      <c r="B16" s="7" t="s">
        <v>33</v>
      </c>
      <c r="C16" s="8" t="s">
        <v>9</v>
      </c>
      <c r="D16" s="19" t="s">
        <v>34</v>
      </c>
    </row>
    <row r="17" customFormat="false" ht="30.75" hidden="false" customHeight="true" outlineLevel="0" collapsed="false">
      <c r="A17" s="10" t="s">
        <v>35</v>
      </c>
      <c r="B17" s="11" t="s">
        <v>36</v>
      </c>
      <c r="C17" s="12" t="s">
        <v>9</v>
      </c>
      <c r="D17" s="13" t="s">
        <v>10</v>
      </c>
    </row>
    <row r="18" customFormat="false" ht="7.5" hidden="false" customHeight="true" outlineLevel="0" collapsed="false"/>
    <row r="19" customFormat="false" ht="33.75" hidden="false" customHeight="true" outlineLevel="0" collapsed="false">
      <c r="A19" s="20" t="s">
        <v>37</v>
      </c>
      <c r="B19" s="20"/>
      <c r="C19" s="21" t="n">
        <f aca="false">SUM(C6:C17)</f>
        <v>15513</v>
      </c>
      <c r="D19" s="22"/>
    </row>
    <row r="20" customFormat="false" ht="15.75" hidden="false" customHeight="true" outlineLevel="0" collapsed="false"/>
    <row r="21" customFormat="false" ht="27" hidden="false" customHeight="true" outlineLevel="0" collapsed="false">
      <c r="A21" s="23" t="s">
        <v>38</v>
      </c>
      <c r="B21" s="23"/>
      <c r="C21" s="23"/>
      <c r="D21" s="23"/>
    </row>
    <row r="22" customFormat="false" ht="22.5" hidden="false" customHeight="true" outlineLevel="0" collapsed="false">
      <c r="A22" s="4" t="s">
        <v>3</v>
      </c>
      <c r="B22" s="4" t="s">
        <v>4</v>
      </c>
      <c r="C22" s="5" t="s">
        <v>5</v>
      </c>
      <c r="D22" s="4" t="s">
        <v>39</v>
      </c>
    </row>
    <row r="23" customFormat="false" ht="25.5" hidden="false" customHeight="true" outlineLevel="0" collapsed="false">
      <c r="A23" s="10" t="s">
        <v>40</v>
      </c>
      <c r="B23" s="11" t="s">
        <v>41</v>
      </c>
      <c r="C23" s="15" t="n">
        <v>300</v>
      </c>
      <c r="D23" s="24" t="s">
        <v>42</v>
      </c>
    </row>
    <row r="24" customFormat="false" ht="30.75" hidden="false" customHeight="true" outlineLevel="0" collapsed="false">
      <c r="A24" s="6" t="s">
        <v>43</v>
      </c>
      <c r="B24" s="7" t="s">
        <v>44</v>
      </c>
      <c r="C24" s="17" t="n">
        <v>300</v>
      </c>
      <c r="D24" s="25" t="s">
        <v>42</v>
      </c>
    </row>
    <row r="25" customFormat="false" ht="30.75" hidden="false" customHeight="true" outlineLevel="0" collapsed="false">
      <c r="A25" s="10" t="s">
        <v>45</v>
      </c>
      <c r="B25" s="11" t="s">
        <v>46</v>
      </c>
      <c r="C25" s="15" t="n">
        <v>300</v>
      </c>
      <c r="D25" s="24" t="s">
        <v>42</v>
      </c>
    </row>
    <row r="26" customFormat="false" ht="30.75" hidden="false" customHeight="true" outlineLevel="0" collapsed="false">
      <c r="A26" s="6" t="s">
        <v>47</v>
      </c>
      <c r="B26" s="7" t="s">
        <v>48</v>
      </c>
      <c r="C26" s="17" t="n">
        <v>980</v>
      </c>
      <c r="D26" s="25" t="s">
        <v>42</v>
      </c>
    </row>
    <row r="27" customFormat="false" ht="30.75" hidden="false" customHeight="true" outlineLevel="0" collapsed="false">
      <c r="A27" s="10" t="s">
        <v>49</v>
      </c>
      <c r="B27" s="11" t="s">
        <v>50</v>
      </c>
      <c r="C27" s="26" t="s">
        <v>51</v>
      </c>
      <c r="D27" s="24" t="s">
        <v>42</v>
      </c>
    </row>
    <row r="28" customFormat="false" ht="30.75" hidden="false" customHeight="true" outlineLevel="0" collapsed="false">
      <c r="A28" s="6" t="s">
        <v>52</v>
      </c>
      <c r="B28" s="7" t="s">
        <v>53</v>
      </c>
      <c r="C28" s="17" t="n">
        <v>750</v>
      </c>
      <c r="D28" s="25" t="s">
        <v>42</v>
      </c>
    </row>
    <row r="29" customFormat="false" ht="30.75" hidden="false" customHeight="true" outlineLevel="0" collapsed="false">
      <c r="A29" s="10" t="s">
        <v>54</v>
      </c>
      <c r="B29" s="11" t="s">
        <v>55</v>
      </c>
      <c r="C29" s="15" t="n">
        <v>500</v>
      </c>
      <c r="D29" s="24" t="s">
        <v>42</v>
      </c>
    </row>
    <row r="30" customFormat="false" ht="7.5" hidden="false" customHeight="true" outlineLevel="0" collapsed="false"/>
    <row r="31" customFormat="false" ht="33.75" hidden="false" customHeight="true" outlineLevel="0" collapsed="false">
      <c r="A31" s="20" t="s">
        <v>56</v>
      </c>
      <c r="B31" s="20"/>
      <c r="C31" s="27" t="n">
        <f aca="false">SUM(C23:C29)</f>
        <v>3130</v>
      </c>
      <c r="D31" s="22"/>
    </row>
    <row r="32" customFormat="false" ht="21.75" hidden="false" customHeight="true" outlineLevel="0" collapsed="false">
      <c r="A32" s="28" t="s">
        <v>57</v>
      </c>
      <c r="B32" s="28"/>
      <c r="C32" s="28"/>
      <c r="D32" s="28"/>
    </row>
    <row r="33" customFormat="false" ht="15.75" hidden="false" customHeight="true" outlineLevel="0" collapsed="false"/>
    <row r="34" customFormat="false" ht="27" hidden="false" customHeight="true" outlineLevel="0" collapsed="false">
      <c r="A34" s="29" t="s">
        <v>58</v>
      </c>
      <c r="B34" s="29"/>
      <c r="C34" s="29"/>
      <c r="D34" s="29"/>
    </row>
    <row r="35" customFormat="false" ht="22.5" hidden="false" customHeight="true" outlineLevel="0" collapsed="false">
      <c r="A35" s="4" t="s">
        <v>3</v>
      </c>
      <c r="B35" s="30" t="s">
        <v>59</v>
      </c>
      <c r="C35" s="30"/>
      <c r="D35" s="30"/>
    </row>
    <row r="36" customFormat="false" ht="25.5" hidden="false" customHeight="true" outlineLevel="0" collapsed="false">
      <c r="A36" s="6" t="s">
        <v>60</v>
      </c>
      <c r="B36" s="7" t="s">
        <v>61</v>
      </c>
      <c r="C36" s="7"/>
      <c r="D36" s="7"/>
    </row>
    <row r="37" customFormat="false" ht="104.25" hidden="false" customHeight="true" outlineLevel="0" collapsed="false">
      <c r="A37" s="10" t="s">
        <v>62</v>
      </c>
      <c r="B37" s="11" t="s">
        <v>63</v>
      </c>
      <c r="C37" s="11"/>
      <c r="D37" s="11"/>
    </row>
    <row r="38" customFormat="false" ht="25.5" hidden="false" customHeight="true" outlineLevel="0" collapsed="false">
      <c r="A38" s="6" t="s">
        <v>64</v>
      </c>
      <c r="B38" s="7" t="s">
        <v>65</v>
      </c>
      <c r="C38" s="7"/>
      <c r="D38" s="7"/>
    </row>
    <row r="39" customFormat="false" ht="25.5" hidden="false" customHeight="true" outlineLevel="0" collapsed="false">
      <c r="A39" s="10" t="s">
        <v>66</v>
      </c>
      <c r="B39" s="11" t="s">
        <v>67</v>
      </c>
      <c r="C39" s="11"/>
      <c r="D39" s="11"/>
    </row>
    <row r="40" customFormat="false" ht="25.5" hidden="false" customHeight="true" outlineLevel="0" collapsed="false">
      <c r="A40" s="6" t="s">
        <v>68</v>
      </c>
      <c r="B40" s="7" t="s">
        <v>69</v>
      </c>
      <c r="C40" s="7"/>
      <c r="D40" s="7"/>
    </row>
    <row r="41" customFormat="false" ht="30.75" hidden="false" customHeight="true" outlineLevel="0" collapsed="false">
      <c r="A41" s="10" t="s">
        <v>70</v>
      </c>
      <c r="B41" s="11" t="s">
        <v>71</v>
      </c>
      <c r="C41" s="11"/>
      <c r="D41" s="11"/>
    </row>
    <row r="42" customFormat="false" ht="25.5" hidden="false" customHeight="true" outlineLevel="0" collapsed="false">
      <c r="A42" s="6" t="s">
        <v>72</v>
      </c>
      <c r="B42" s="7" t="s">
        <v>73</v>
      </c>
      <c r="C42" s="7"/>
      <c r="D42" s="7"/>
    </row>
    <row r="43" customFormat="false" ht="25.5" hidden="false" customHeight="true" outlineLevel="0" collapsed="false">
      <c r="A43" s="10" t="s">
        <v>74</v>
      </c>
      <c r="B43" s="11" t="s">
        <v>75</v>
      </c>
      <c r="C43" s="11"/>
      <c r="D43" s="11"/>
    </row>
    <row r="44" customFormat="false" ht="25.5" hidden="false" customHeight="true" outlineLevel="0" collapsed="false">
      <c r="A44" s="6" t="s">
        <v>76</v>
      </c>
      <c r="B44" s="7" t="s">
        <v>77</v>
      </c>
      <c r="C44" s="7"/>
      <c r="D44" s="7"/>
    </row>
    <row r="45" customFormat="false" ht="25.5" hidden="false" customHeight="true" outlineLevel="0" collapsed="false">
      <c r="A45" s="10" t="s">
        <v>78</v>
      </c>
      <c r="B45" s="11" t="s">
        <v>79</v>
      </c>
      <c r="C45" s="11"/>
      <c r="D45" s="11"/>
    </row>
  </sheetData>
  <mergeCells count="19">
    <mergeCell ref="A1:D1"/>
    <mergeCell ref="A2:D2"/>
    <mergeCell ref="A4:D4"/>
    <mergeCell ref="A19:B19"/>
    <mergeCell ref="A21:D21"/>
    <mergeCell ref="A31:B31"/>
    <mergeCell ref="A32:D32"/>
    <mergeCell ref="A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9" man="true" max="16383" min="0"/>
    <brk id="3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2026-07-29T20:24:49Z</dcterms:created>
  <dc:creator>openpyxl</dc:creator>
  <dc:description/>
  <dc:language>en-US</dc:language>
  <cp:lastModifiedBy/>
  <dcterms:modified xsi:type="dcterms:W3CDTF">2026-07-29T20:24:49Z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